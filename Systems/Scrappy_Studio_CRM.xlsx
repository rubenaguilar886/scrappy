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Config" sheetId="1" state="hidden" r:id="rId3"/>
    <sheet name="CRM Leads" sheetId="2" state="visible" r:id="rId4"/>
    <sheet name="Pipelin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<sst xmlns="http://schemas.openxmlformats.org/spreadsheetml/2006/main" count="39" uniqueCount="28">
  <si>
    <t xml:space="preserve">Nuevo</t>
  </si>
  <si>
    <t xml:space="preserve">Contactado</t>
  </si>
  <si>
    <t xml:space="preserve">Respondió</t>
  </si>
  <si>
    <t xml:space="preserve">Interesado</t>
  </si>
  <si>
    <t xml:space="preserve">Follow-up 1</t>
  </si>
  <si>
    <t xml:space="preserve">Follow-up 2</t>
  </si>
  <si>
    <t xml:space="preserve">Reunión cerrada</t>
  </si>
  <si>
    <t xml:space="preserve">Propuesta enviada</t>
  </si>
  <si>
    <t xml:space="preserve">Cerrado ✓</t>
  </si>
  <si>
    <t xml:space="preserve">Perdido ✗</t>
  </si>
  <si>
    <t xml:space="preserve">#</t>
  </si>
  <si>
    <t xml:space="preserve">Negocio</t>
  </si>
  <si>
    <t xml:space="preserve">Rubro</t>
  </si>
  <si>
    <t xml:space="preserve">Contacto</t>
  </si>
  <si>
    <t xml:space="preserve">Canal</t>
  </si>
  <si>
    <t xml:space="preserve">Teléfono / @</t>
  </si>
  <si>
    <t xml:space="preserve">1er contacto</t>
  </si>
  <si>
    <t xml:space="preserve">Último mensaje</t>
  </si>
  <si>
    <t xml:space="preserve">Días sin resp.</t>
  </si>
  <si>
    <t xml:space="preserve">Etapa</t>
  </si>
  <si>
    <t xml:space="preserve">Notas</t>
  </si>
  <si>
    <t xml:space="preserve">Total leads:</t>
  </si>
  <si>
    <t xml:space="preserve">Activos:</t>
  </si>
  <si>
    <t xml:space="preserve">Cerrados:</t>
  </si>
  <si>
    <t xml:space="preserve">Perdidos:</t>
  </si>
  <si>
    <t xml:space="preserve">Tasa de cierre:</t>
  </si>
  <si>
    <t xml:space="preserve">Cantidad</t>
  </si>
  <si>
    <t xml:space="preserve">% del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</si>
</sst>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5F5F5"/>
      <name val="Arial"/>
      <family val="0"/>
      <charset val="1"/>
    </font>
    <font>
      <sz val="9"/>
      <color rgb="FF999999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sz val="10"/>
      <name val="Arial"/>
      <family val="0"/>
      <charset val="1"/>
    </font>
    <font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0F2A"/>
        <bgColor rgb="FF000000"/>
      </patternFill>
    </fill>
    <fill>
      <patternFill patternType="solid">
        <fgColor rgb="FFFFFFFF"/>
        <bgColor rgb="FFF7F5FF"/>
      </patternFill>
    </fill>
    <fill>
      <patternFill patternType="solid">
        <fgColor rgb="FFF7F5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4A3580"/>
      </left>
      <right style="thin">
        <color rgb="FF4A3580"/>
      </right>
      <top/>
      <bottom style="medium">
        <color rgb="FF22D3EE"/>
      </bottom>
      <diagonal/>
    </border>
    <border diagonalUp="false" diagonalDown="false">
      <left style="thin">
        <color rgb="FFE2D9F3"/>
      </left>
      <right style="thin">
        <color rgb="FFE2D9F3"/>
      </right>
      <top style="thin">
        <color rgb="FFE2D9F3"/>
      </top>
      <bottom style="thin">
        <color rgb="FFE2D9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CA3AF"/>
        <sz val="10"/>
      </font>
      <fill>
        <patternFill>
          <bgColor rgb="FFF3F4F6"/>
        </patternFill>
      </fill>
    </dxf>
    <dxf>
      <font>
        <name val="Arial"/>
        <charset val="1"/>
        <family val="0"/>
        <b val="1"/>
        <color rgb="FF5B21B6"/>
        <sz val="10"/>
      </font>
      <fill>
        <patternFill>
          <bgColor rgb="FFEDE9FE"/>
        </patternFill>
      </fill>
    </dxf>
    <dxf>
      <font>
        <name val="Arial"/>
        <charset val="1"/>
        <family val="0"/>
        <b val="1"/>
        <color rgb="FF1D4ED8"/>
        <sz val="10"/>
      </font>
      <fill>
        <patternFill>
          <bgColor rgb="FFDBEAFE"/>
        </patternFill>
      </fill>
    </dxf>
    <dxf>
      <font>
        <name val="Arial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854D0E"/>
        <sz val="10"/>
      </font>
      <fill>
        <patternFill>
          <bgColor rgb="FFFEF9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5B21B6"/>
      <rgbColor rgb="FF065F46"/>
      <rgbColor rgb="FFEDE9FE"/>
      <rgbColor rgb="FF808080"/>
      <rgbColor rgb="FF9CA3AF"/>
      <rgbColor rgb="FF854D0E"/>
      <rgbColor rgb="FFFEF9C3"/>
      <rgbColor rgb="FFDBEAFE"/>
      <rgbColor rgb="FF660066"/>
      <rgbColor rgb="FFFF8080"/>
      <rgbColor rgb="FF1D4ED8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EF3C7"/>
      <rgbColor rgb="FFF5F5F5"/>
      <rgbColor rgb="FFF7F5FF"/>
      <rgbColor rgb="FFCC99FF"/>
      <rgbColor rgb="FFFEE2E2"/>
      <rgbColor rgb="FF3366FF"/>
      <rgbColor rgb="FF22D3EE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555555"/>
      <rgbColor rgb="FF92400E"/>
      <rgbColor rgb="FF7C3AED"/>
      <rgbColor rgb="FF4A3580"/>
      <rgbColor rgb="FF150F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C3AED"/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42"/>
  </cols>
  <sheetData>
    <row r="1" customFormat="false" ht="31.5" hidden="false" customHeight="tru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customFormat="false" ht="21.75" hidden="false" customHeight="true" outlineLevel="0" collapsed="false">
      <c r="A2" s="2" t="str">
        <f aca="false">IF(B2&lt;&gt;"",ROW()-1,"")</f>
        <v/>
      </c>
      <c r="B2" s="3"/>
      <c r="C2" s="3"/>
      <c r="D2" s="3"/>
      <c r="E2" s="3"/>
      <c r="F2" s="3"/>
      <c r="G2" s="4"/>
      <c r="H2" s="4"/>
      <c r="I2" s="5" t="str">
        <f aca="true">IF(H2="","",IF(OR(J2="Cerrado ✓",J2="Perdido ✗"),"—",TODAY()-H2))</f>
        <v/>
      </c>
      <c r="J2" s="3"/>
      <c r="K2" s="6"/>
    </row>
    <row r="3" customFormat="false" ht="21.75" hidden="false" customHeight="true" outlineLevel="0" collapsed="false">
      <c r="A3" s="7" t="str">
        <f aca="false">IF(B3&lt;&gt;"",ROW()-1,"")</f>
        <v/>
      </c>
      <c r="B3" s="8"/>
      <c r="C3" s="8"/>
      <c r="D3" s="8"/>
      <c r="E3" s="8"/>
      <c r="F3" s="8"/>
      <c r="G3" s="9"/>
      <c r="H3" s="9"/>
      <c r="I3" s="10" t="str">
        <f aca="true">IF(H3="","",IF(OR(J3="Cerrado ✓",J3="Perdido ✗"),"—",TODAY()-H3))</f>
        <v/>
      </c>
      <c r="J3" s="8"/>
      <c r="K3" s="11"/>
    </row>
    <row r="4" customFormat="false" ht="21.75" hidden="false" customHeight="true" outlineLevel="0" collapsed="false">
      <c r="A4" s="2" t="str">
        <f aca="false">IF(B4&lt;&gt;"",ROW()-1,"")</f>
        <v/>
      </c>
      <c r="B4" s="3"/>
      <c r="C4" s="3"/>
      <c r="D4" s="3"/>
      <c r="E4" s="3"/>
      <c r="F4" s="3"/>
      <c r="G4" s="4"/>
      <c r="H4" s="4"/>
      <c r="I4" s="5" t="str">
        <f aca="true">IF(H4="","",IF(OR(J4="Cerrado ✓",J4="Perdido ✗"),"—",TODAY()-H4))</f>
        <v/>
      </c>
      <c r="J4" s="3"/>
      <c r="K4" s="6"/>
    </row>
    <row r="5" customFormat="false" ht="21.75" hidden="false" customHeight="true" outlineLevel="0" collapsed="false">
      <c r="A5" s="7" t="str">
        <f aca="false">IF(B5&lt;&gt;"",ROW()-1,"")</f>
        <v/>
      </c>
      <c r="B5" s="8"/>
      <c r="C5" s="8"/>
      <c r="D5" s="8"/>
      <c r="E5" s="8"/>
      <c r="F5" s="8"/>
      <c r="G5" s="9"/>
      <c r="H5" s="9"/>
      <c r="I5" s="10" t="str">
        <f aca="true">IF(H5="","",IF(OR(J5="Cerrado ✓",J5="Perdido ✗"),"—",TODAY()-H5))</f>
        <v/>
      </c>
      <c r="J5" s="8"/>
      <c r="K5" s="11"/>
    </row>
    <row r="6" customFormat="false" ht="21.75" hidden="false" customHeight="true" outlineLevel="0" collapsed="false">
      <c r="A6" s="2" t="str">
        <f aca="false">IF(B6&lt;&gt;"",ROW()-1,"")</f>
        <v/>
      </c>
      <c r="B6" s="3"/>
      <c r="C6" s="3"/>
      <c r="D6" s="3"/>
      <c r="E6" s="3"/>
      <c r="F6" s="3"/>
      <c r="G6" s="4"/>
      <c r="H6" s="4"/>
      <c r="I6" s="5" t="str">
        <f aca="true">IF(H6="","",IF(OR(J6="Cerrado ✓",J6="Perdido ✗"),"—",TODAY()-H6))</f>
        <v/>
      </c>
      <c r="J6" s="3"/>
      <c r="K6" s="6"/>
    </row>
    <row r="7" customFormat="false" ht="21.75" hidden="false" customHeight="true" outlineLevel="0" collapsed="false">
      <c r="A7" s="7" t="str">
        <f aca="false">IF(B7&lt;&gt;"",ROW()-1,"")</f>
        <v/>
      </c>
      <c r="B7" s="8"/>
      <c r="C7" s="8"/>
      <c r="D7" s="8"/>
      <c r="E7" s="8"/>
      <c r="F7" s="8"/>
      <c r="G7" s="9"/>
      <c r="H7" s="9"/>
      <c r="I7" s="10" t="str">
        <f aca="true">IF(H7="","",IF(OR(J7="Cerrado ✓",J7="Perdido ✗"),"—",TODAY()-H7))</f>
        <v/>
      </c>
      <c r="J7" s="8"/>
      <c r="K7" s="11"/>
    </row>
    <row r="8" customFormat="false" ht="21.75" hidden="false" customHeight="true" outlineLevel="0" collapsed="false">
      <c r="A8" s="2" t="str">
        <f aca="false">IF(B8&lt;&gt;"",ROW()-1,"")</f>
        <v/>
      </c>
      <c r="B8" s="3"/>
      <c r="C8" s="3"/>
      <c r="D8" s="3"/>
      <c r="E8" s="3"/>
      <c r="F8" s="3"/>
      <c r="G8" s="4"/>
      <c r="H8" s="4"/>
      <c r="I8" s="5" t="str">
        <f aca="true">IF(H8="","",IF(OR(J8="Cerrado ✓",J8="Perdido ✗"),"—",TODAY()-H8))</f>
        <v/>
      </c>
      <c r="J8" s="3"/>
      <c r="K8" s="6"/>
    </row>
    <row r="9" customFormat="false" ht="21.75" hidden="false" customHeight="true" outlineLevel="0" collapsed="false">
      <c r="A9" s="7" t="str">
        <f aca="false">IF(B9&lt;&gt;"",ROW()-1,"")</f>
        <v/>
      </c>
      <c r="B9" s="8"/>
      <c r="C9" s="8"/>
      <c r="D9" s="8"/>
      <c r="E9" s="8"/>
      <c r="F9" s="8"/>
      <c r="G9" s="9"/>
      <c r="H9" s="9"/>
      <c r="I9" s="10" t="str">
        <f aca="true">IF(H9="","",IF(OR(J9="Cerrado ✓",J9="Perdido ✗"),"—",TODAY()-H9))</f>
        <v/>
      </c>
      <c r="J9" s="8"/>
      <c r="K9" s="11"/>
    </row>
    <row r="10" customFormat="false" ht="21.75" hidden="false" customHeight="true" outlineLevel="0" collapsed="false">
      <c r="A10" s="2" t="str">
        <f aca="false">IF(B10&lt;&gt;"",ROW()-1,"")</f>
        <v/>
      </c>
      <c r="B10" s="3"/>
      <c r="C10" s="3"/>
      <c r="D10" s="3"/>
      <c r="E10" s="3"/>
      <c r="F10" s="3"/>
      <c r="G10" s="4"/>
      <c r="H10" s="4"/>
      <c r="I10" s="5" t="str">
        <f aca="true">IF(H10="","",IF(OR(J10="Cerrado ✓",J10="Perdido ✗"),"—",TODAY()-H10))</f>
        <v/>
      </c>
      <c r="J10" s="3"/>
      <c r="K10" s="6"/>
    </row>
    <row r="11" customFormat="false" ht="21.75" hidden="false" customHeight="true" outlineLevel="0" collapsed="false">
      <c r="A11" s="7" t="str">
        <f aca="false">IF(B11&lt;&gt;"",ROW()-1,"")</f>
        <v/>
      </c>
      <c r="B11" s="8"/>
      <c r="C11" s="8"/>
      <c r="D11" s="8"/>
      <c r="E11" s="8"/>
      <c r="F11" s="8"/>
      <c r="G11" s="9"/>
      <c r="H11" s="9"/>
      <c r="I11" s="10" t="str">
        <f aca="true">IF(H11="","",IF(OR(J11="Cerrado ✓",J11="Perdido ✗"),"—",TODAY()-H11))</f>
        <v/>
      </c>
      <c r="J11" s="8"/>
      <c r="K11" s="11"/>
    </row>
    <row r="12" customFormat="false" ht="21.75" hidden="false" customHeight="true" outlineLevel="0" collapsed="false">
      <c r="A12" s="2" t="str">
        <f aca="false">IF(B12&lt;&gt;"",ROW()-1,"")</f>
        <v/>
      </c>
      <c r="B12" s="3"/>
      <c r="C12" s="3"/>
      <c r="D12" s="3"/>
      <c r="E12" s="3"/>
      <c r="F12" s="3"/>
      <c r="G12" s="4"/>
      <c r="H12" s="4"/>
      <c r="I12" s="5" t="str">
        <f aca="true">IF(H12="","",IF(OR(J12="Cerrado ✓",J12="Perdido ✗"),"—",TODAY()-H12))</f>
        <v/>
      </c>
      <c r="J12" s="3"/>
      <c r="K12" s="6"/>
    </row>
    <row r="13" customFormat="false" ht="21.75" hidden="false" customHeight="true" outlineLevel="0" collapsed="false">
      <c r="A13" s="7" t="str">
        <f aca="false">IF(B13&lt;&gt;"",ROW()-1,"")</f>
        <v/>
      </c>
      <c r="B13" s="8"/>
      <c r="C13" s="8"/>
      <c r="D13" s="8"/>
      <c r="E13" s="8"/>
      <c r="F13" s="8"/>
      <c r="G13" s="9"/>
      <c r="H13" s="9"/>
      <c r="I13" s="10" t="str">
        <f aca="true">IF(H13="","",IF(OR(J13="Cerrado ✓",J13="Perdido ✗"),"—",TODAY()-H13))</f>
        <v/>
      </c>
      <c r="J13" s="8"/>
      <c r="K13" s="11"/>
    </row>
    <row r="14" customFormat="false" ht="21.75" hidden="false" customHeight="true" outlineLevel="0" collapsed="false">
      <c r="A14" s="2" t="str">
        <f aca="false">IF(B14&lt;&gt;"",ROW()-1,"")</f>
        <v/>
      </c>
      <c r="B14" s="3"/>
      <c r="C14" s="3"/>
      <c r="D14" s="3"/>
      <c r="E14" s="3"/>
      <c r="F14" s="3"/>
      <c r="G14" s="4"/>
      <c r="H14" s="4"/>
      <c r="I14" s="5" t="str">
        <f aca="true">IF(H14="","",IF(OR(J14="Cerrado ✓",J14="Perdido ✗"),"—",TODAY()-H14))</f>
        <v/>
      </c>
      <c r="J14" s="3"/>
      <c r="K14" s="6"/>
    </row>
    <row r="15" customFormat="false" ht="21.75" hidden="false" customHeight="true" outlineLevel="0" collapsed="false">
      <c r="A15" s="7" t="str">
        <f aca="false">IF(B15&lt;&gt;"",ROW()-1,"")</f>
        <v/>
      </c>
      <c r="B15" s="8"/>
      <c r="C15" s="8"/>
      <c r="D15" s="8"/>
      <c r="E15" s="8"/>
      <c r="F15" s="8"/>
      <c r="G15" s="9"/>
      <c r="H15" s="9"/>
      <c r="I15" s="10" t="str">
        <f aca="true">IF(H15="","",IF(OR(J15="Cerrado ✓",J15="Perdido ✗"),"—",TODAY()-H15))</f>
        <v/>
      </c>
      <c r="J15" s="8"/>
      <c r="K15" s="11"/>
    </row>
    <row r="16" customFormat="false" ht="21.75" hidden="false" customHeight="true" outlineLevel="0" collapsed="false">
      <c r="A16" s="2" t="str">
        <f aca="false">IF(B16&lt;&gt;"",ROW()-1,"")</f>
        <v/>
      </c>
      <c r="B16" s="3"/>
      <c r="C16" s="3"/>
      <c r="D16" s="3"/>
      <c r="E16" s="3"/>
      <c r="F16" s="3"/>
      <c r="G16" s="4"/>
      <c r="H16" s="4"/>
      <c r="I16" s="5" t="str">
        <f aca="true">IF(H16="","",IF(OR(J16="Cerrado ✓",J16="Perdido ✗"),"—",TODAY()-H16))</f>
        <v/>
      </c>
      <c r="J16" s="3"/>
      <c r="K16" s="6"/>
    </row>
    <row r="17" customFormat="false" ht="21.75" hidden="false" customHeight="true" outlineLevel="0" collapsed="false">
      <c r="A17" s="7" t="str">
        <f aca="false">IF(B17&lt;&gt;"",ROW()-1,"")</f>
        <v/>
      </c>
      <c r="B17" s="8"/>
      <c r="C17" s="8"/>
      <c r="D17" s="8"/>
      <c r="E17" s="8"/>
      <c r="F17" s="8"/>
      <c r="G17" s="9"/>
      <c r="H17" s="9"/>
      <c r="I17" s="10" t="str">
        <f aca="true">IF(H17="","",IF(OR(J17="Cerrado ✓",J17="Perdido ✗"),"—",TODAY()-H17))</f>
        <v/>
      </c>
      <c r="J17" s="8"/>
      <c r="K17" s="11"/>
    </row>
    <row r="18" customFormat="false" ht="21.75" hidden="false" customHeight="true" outlineLevel="0" collapsed="false">
      <c r="A18" s="2" t="str">
        <f aca="false">IF(B18&lt;&gt;"",ROW()-1,"")</f>
        <v/>
      </c>
      <c r="B18" s="3"/>
      <c r="C18" s="3"/>
      <c r="D18" s="3"/>
      <c r="E18" s="3"/>
      <c r="F18" s="3"/>
      <c r="G18" s="4"/>
      <c r="H18" s="4"/>
      <c r="I18" s="5" t="str">
        <f aca="true">IF(H18="","",IF(OR(J18="Cerrado ✓",J18="Perdido ✗"),"—",TODAY()-H18))</f>
        <v/>
      </c>
      <c r="J18" s="3"/>
      <c r="K18" s="6"/>
    </row>
    <row r="19" customFormat="false" ht="21.75" hidden="false" customHeight="true" outlineLevel="0" collapsed="false">
      <c r="A19" s="7" t="str">
        <f aca="false">IF(B19&lt;&gt;"",ROW()-1,"")</f>
        <v/>
      </c>
      <c r="B19" s="8"/>
      <c r="C19" s="8"/>
      <c r="D19" s="8"/>
      <c r="E19" s="8"/>
      <c r="F19" s="8"/>
      <c r="G19" s="9"/>
      <c r="H19" s="9"/>
      <c r="I19" s="10" t="str">
        <f aca="true">IF(H19="","",IF(OR(J19="Cerrado ✓",J19="Perdido ✗"),"—",TODAY()-H19))</f>
        <v/>
      </c>
      <c r="J19" s="8"/>
      <c r="K19" s="11"/>
    </row>
    <row r="20" customFormat="false" ht="21.75" hidden="false" customHeight="true" outlineLevel="0" collapsed="false">
      <c r="A20" s="2" t="str">
        <f aca="false">IF(B20&lt;&gt;"",ROW()-1,"")</f>
        <v/>
      </c>
      <c r="B20" s="3"/>
      <c r="C20" s="3"/>
      <c r="D20" s="3"/>
      <c r="E20" s="3"/>
      <c r="F20" s="3"/>
      <c r="G20" s="4"/>
      <c r="H20" s="4"/>
      <c r="I20" s="5" t="str">
        <f aca="true">IF(H20="","",IF(OR(J20="Cerrado ✓",J20="Perdido ✗"),"—",TODAY()-H20))</f>
        <v/>
      </c>
      <c r="J20" s="3"/>
      <c r="K20" s="6"/>
    </row>
    <row r="21" customFormat="false" ht="21.75" hidden="false" customHeight="true" outlineLevel="0" collapsed="false">
      <c r="A21" s="7" t="str">
        <f aca="false">IF(B21&lt;&gt;"",ROW()-1,"")</f>
        <v/>
      </c>
      <c r="B21" s="8"/>
      <c r="C21" s="8"/>
      <c r="D21" s="8"/>
      <c r="E21" s="8"/>
      <c r="F21" s="8"/>
      <c r="G21" s="9"/>
      <c r="H21" s="9"/>
      <c r="I21" s="10" t="str">
        <f aca="true">IF(H21="","",IF(OR(J21="Cerrado ✓",J21="Perdido ✗"),"—",TODAY()-H21))</f>
        <v/>
      </c>
      <c r="J21" s="8"/>
      <c r="K21" s="11"/>
    </row>
    <row r="22" customFormat="false" ht="21.75" hidden="false" customHeight="true" outlineLevel="0" collapsed="false">
      <c r="A22" s="2" t="str">
        <f aca="false">IF(B22&lt;&gt;"",ROW()-1,"")</f>
        <v/>
      </c>
      <c r="B22" s="3"/>
      <c r="C22" s="3"/>
      <c r="D22" s="3"/>
      <c r="E22" s="3"/>
      <c r="F22" s="3"/>
      <c r="G22" s="4"/>
      <c r="H22" s="4"/>
      <c r="I22" s="5" t="str">
        <f aca="true">IF(H22="","",IF(OR(J22="Cerrado ✓",J22="Perdido ✗"),"—",TODAY()-H22))</f>
        <v/>
      </c>
      <c r="J22" s="3"/>
      <c r="K22" s="6"/>
    </row>
    <row r="23" customFormat="false" ht="21.75" hidden="false" customHeight="true" outlineLevel="0" collapsed="false">
      <c r="A23" s="7" t="str">
        <f aca="false">IF(B23&lt;&gt;"",ROW()-1,"")</f>
        <v/>
      </c>
      <c r="B23" s="8"/>
      <c r="C23" s="8"/>
      <c r="D23" s="8"/>
      <c r="E23" s="8"/>
      <c r="F23" s="8"/>
      <c r="G23" s="9"/>
      <c r="H23" s="9"/>
      <c r="I23" s="10" t="str">
        <f aca="true">IF(H23="","",IF(OR(J23="Cerrado ✓",J23="Perdido ✗"),"—",TODAY()-H23))</f>
        <v/>
      </c>
      <c r="J23" s="8"/>
      <c r="K23" s="11"/>
    </row>
    <row r="24" customFormat="false" ht="21.75" hidden="false" customHeight="true" outlineLevel="0" collapsed="false">
      <c r="A24" s="2" t="str">
        <f aca="false">IF(B24&lt;&gt;"",ROW()-1,"")</f>
        <v/>
      </c>
      <c r="B24" s="3"/>
      <c r="C24" s="3"/>
      <c r="D24" s="3"/>
      <c r="E24" s="3"/>
      <c r="F24" s="3"/>
      <c r="G24" s="4"/>
      <c r="H24" s="4"/>
      <c r="I24" s="5" t="str">
        <f aca="true">IF(H24="","",IF(OR(J24="Cerrado ✓",J24="Perdido ✗"),"—",TODAY()-H24))</f>
        <v/>
      </c>
      <c r="J24" s="3"/>
      <c r="K24" s="6"/>
    </row>
    <row r="25" customFormat="false" ht="21.75" hidden="false" customHeight="true" outlineLevel="0" collapsed="false">
      <c r="A25" s="7" t="str">
        <f aca="false">IF(B25&lt;&gt;"",ROW()-1,"")</f>
        <v/>
      </c>
      <c r="B25" s="8"/>
      <c r="C25" s="8"/>
      <c r="D25" s="8"/>
      <c r="E25" s="8"/>
      <c r="F25" s="8"/>
      <c r="G25" s="9"/>
      <c r="H25" s="9"/>
      <c r="I25" s="10" t="str">
        <f aca="true">IF(H25="","",IF(OR(J25="Cerrado ✓",J25="Perdido ✗"),"—",TODAY()-H25))</f>
        <v/>
      </c>
      <c r="J25" s="8"/>
      <c r="K25" s="11"/>
    </row>
    <row r="26" customFormat="false" ht="21.75" hidden="false" customHeight="true" outlineLevel="0" collapsed="false">
      <c r="A26" s="2" t="str">
        <f aca="false">IF(B26&lt;&gt;"",ROW()-1,"")</f>
        <v/>
      </c>
      <c r="B26" s="3"/>
      <c r="C26" s="3"/>
      <c r="D26" s="3"/>
      <c r="E26" s="3"/>
      <c r="F26" s="3"/>
      <c r="G26" s="4"/>
      <c r="H26" s="4"/>
      <c r="I26" s="5" t="str">
        <f aca="true">IF(H26="","",IF(OR(J26="Cerrado ✓",J26="Perdido ✗"),"—",TODAY()-H26))</f>
        <v/>
      </c>
      <c r="J26" s="3"/>
      <c r="K26" s="6"/>
    </row>
    <row r="27" customFormat="false" ht="21.75" hidden="false" customHeight="true" outlineLevel="0" collapsed="false">
      <c r="A27" s="7" t="str">
        <f aca="false">IF(B27&lt;&gt;"",ROW()-1,"")</f>
        <v/>
      </c>
      <c r="B27" s="8"/>
      <c r="C27" s="8"/>
      <c r="D27" s="8"/>
      <c r="E27" s="8"/>
      <c r="F27" s="8"/>
      <c r="G27" s="9"/>
      <c r="H27" s="9"/>
      <c r="I27" s="10" t="str">
        <f aca="true">IF(H27="","",IF(OR(J27="Cerrado ✓",J27="Perdido ✗"),"—",TODAY()-H27))</f>
        <v/>
      </c>
      <c r="J27" s="8"/>
      <c r="K27" s="11"/>
    </row>
    <row r="28" customFormat="false" ht="21.75" hidden="false" customHeight="true" outlineLevel="0" collapsed="false">
      <c r="A28" s="2" t="str">
        <f aca="false">IF(B28&lt;&gt;"",ROW()-1,"")</f>
        <v/>
      </c>
      <c r="B28" s="3"/>
      <c r="C28" s="3"/>
      <c r="D28" s="3"/>
      <c r="E28" s="3"/>
      <c r="F28" s="3"/>
      <c r="G28" s="4"/>
      <c r="H28" s="4"/>
      <c r="I28" s="5" t="str">
        <f aca="true">IF(H28="","",IF(OR(J28="Cerrado ✓",J28="Perdido ✗"),"—",TODAY()-H28))</f>
        <v/>
      </c>
      <c r="J28" s="3"/>
      <c r="K28" s="6"/>
    </row>
    <row r="29" customFormat="false" ht="21.75" hidden="false" customHeight="true" outlineLevel="0" collapsed="false">
      <c r="A29" s="7" t="str">
        <f aca="false">IF(B29&lt;&gt;"",ROW()-1,"")</f>
        <v/>
      </c>
      <c r="B29" s="8"/>
      <c r="C29" s="8"/>
      <c r="D29" s="8"/>
      <c r="E29" s="8"/>
      <c r="F29" s="8"/>
      <c r="G29" s="9"/>
      <c r="H29" s="9"/>
      <c r="I29" s="10" t="str">
        <f aca="true">IF(H29="","",IF(OR(J29="Cerrado ✓",J29="Perdido ✗"),"—",TODAY()-H29))</f>
        <v/>
      </c>
      <c r="J29" s="8"/>
      <c r="K29" s="11"/>
    </row>
    <row r="30" customFormat="false" ht="21.75" hidden="false" customHeight="true" outlineLevel="0" collapsed="false">
      <c r="A30" s="2" t="str">
        <f aca="false">IF(B30&lt;&gt;"",ROW()-1,"")</f>
        <v/>
      </c>
      <c r="B30" s="3"/>
      <c r="C30" s="3"/>
      <c r="D30" s="3"/>
      <c r="E30" s="3"/>
      <c r="F30" s="3"/>
      <c r="G30" s="4"/>
      <c r="H30" s="4"/>
      <c r="I30" s="5" t="str">
        <f aca="true">IF(H30="","",IF(OR(J30="Cerrado ✓",J30="Perdido ✗"),"—",TODAY()-H30))</f>
        <v/>
      </c>
      <c r="J30" s="3"/>
      <c r="K30" s="6"/>
    </row>
    <row r="31" customFormat="false" ht="21.75" hidden="false" customHeight="true" outlineLevel="0" collapsed="false">
      <c r="A31" s="7" t="str">
        <f aca="false">IF(B31&lt;&gt;"",ROW()-1,"")</f>
        <v/>
      </c>
      <c r="B31" s="8"/>
      <c r="C31" s="8"/>
      <c r="D31" s="8"/>
      <c r="E31" s="8"/>
      <c r="F31" s="8"/>
      <c r="G31" s="9"/>
      <c r="H31" s="9"/>
      <c r="I31" s="10" t="str">
        <f aca="true">IF(H31="","",IF(OR(J31="Cerrado ✓",J31="Perdido ✗"),"—",TODAY()-H31))</f>
        <v/>
      </c>
      <c r="J31" s="8"/>
      <c r="K31" s="11"/>
    </row>
    <row r="33" customFormat="false" ht="27.75" hidden="false" customHeight="true" outlineLevel="0" collapsed="false">
      <c r="B33" s="12" t="s">
        <v>21</v>
      </c>
      <c r="C33" s="13" t="n">
        <f aca="false">COUNTA(B2:B31)</f>
        <v>0</v>
      </c>
      <c r="D33" s="12" t="s">
        <v>22</v>
      </c>
      <c r="E33" s="13" t="n">
        <f aca="false">COUNTIF(J2:J31,"Interesado")+COUNTIF(J2:J31,"Follow-up 1")+COUNTIF(J2:J31,"Follow-up 2")+COUNTIF(J2:J31,"Reunión cerrada")+COUNTIF(J2:J31,"Propuesta enviada")</f>
        <v>0</v>
      </c>
      <c r="F33" s="12" t="s">
        <v>23</v>
      </c>
      <c r="G33" s="13" t="n">
        <f aca="false">COUNTIF(J2:J31,"Cerrado ✓")</f>
        <v>0</v>
      </c>
      <c r="H33" s="12" t="s">
        <v>24</v>
      </c>
      <c r="I33" s="13" t="n">
        <f aca="false">COUNTIF(J2:J31,"Perdido ✗")</f>
        <v>0</v>
      </c>
      <c r="J33" s="12" t="s">
        <v>25</v>
      </c>
      <c r="K33" s="14" t="n">
        <f aca="false">IFERROR(COUNTIF(J2:J31,"Cerrado ✓")/COUNTA(B2:B31),0)</f>
        <v>0</v>
      </c>
    </row>
  </sheetData>
  <conditionalFormatting sqref="B2:K31">
    <cfRule type="expression" priority="2" aboveAverage="0" equalAverage="0" bottom="0" percent="0" rank="0" text="" dxfId="0">
      <formula>$J2="Cerrado ✓"</formula>
    </cfRule>
    <cfRule type="expression" priority="3" aboveAverage="0" equalAverage="0" bottom="0" percent="0" rank="0" text="" dxfId="1">
      <formula>$J2="Perdido ✗"</formula>
    </cfRule>
    <cfRule type="expression" priority="4" aboveAverage="0" equalAverage="0" bottom="0" percent="0" rank="0" text="" dxfId="2">
      <formula>$J2="Interesado"</formula>
    </cfRule>
    <cfRule type="expression" priority="5" aboveAverage="0" equalAverage="0" bottom="0" percent="0" rank="0" text="" dxfId="3">
      <formula>$J2="Reunión cerrada"</formula>
    </cfRule>
    <cfRule type="expression" priority="6" aboveAverage="0" equalAverage="0" bottom="0" percent="0" rank="0" text="" dxfId="4">
      <formula>$J2="Propuesta enviada"</formula>
    </cfRule>
    <cfRule type="expression" priority="7" aboveAverage="0" equalAverage="0" bottom="0" percent="0" rank="0" text="" dxfId="5">
      <formula>$J2="Follow-up 2"</formula>
    </cfRule>
    <cfRule type="expression" priority="8" aboveAverage="0" equalAverage="0" bottom="0" percent="0" rank="0" text="" dxfId="6">
      <formula>$J2="Follow-up 1"</formula>
    </cfRule>
  </conditionalFormatting>
  <conditionalFormatting sqref="I2:I31">
    <cfRule type="cellIs" priority="9" operator="greaterThan" aboveAverage="0" equalAverage="0" bottom="0" percent="0" rank="0" text="" dxfId="5">
      <formula>14</formula>
    </cfRule>
    <cfRule type="cellIs" priority="10" operator="greaterThan" aboveAverage="0" equalAverage="0" bottom="0" percent="0" rank="0" text="" dxfId="4">
      <formula>7</formula>
    </cfRule>
  </conditionalFormatting>
  <dataValidations count="2">
    <dataValidation allowBlank="true" errorStyle="stop" operator="between" showDropDown="false" showErrorMessage="false" showInputMessage="false" sqref="J2:J31" type="list">
      <formula1>Config!$A$1:$A$10</formula1>
      <formula2>0</formula2>
    </dataValidation>
    <dataValidation allowBlank="true" errorStyle="stop" operator="between" showDropDown="false" showErrorMessage="false" showInputMessage="false" sqref="E2:E31" type="list">
      <formula1>"WhatsApp,Instagram,Email,Otro"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D3EE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</cols>
  <sheetData>
    <row r="1" customFormat="false" ht="30" hidden="false" customHeight="true" outlineLevel="0" collapsed="false">
      <c r="A1" s="1" t="s">
        <v>19</v>
      </c>
      <c r="B1" s="1" t="s">
        <v>26</v>
      </c>
      <c r="C1" s="1" t="s">
        <v>27</v>
      </c>
    </row>
    <row r="2" customFormat="false" ht="21.75" hidden="false" customHeight="true" outlineLevel="0" collapsed="false">
      <c r="A2" s="15" t="s">
        <v>0</v>
      </c>
      <c r="B2" s="16" t="n">
        <f aca="false">COUNTIF('CRM Leads'!J:J,"Nuevo")</f>
        <v>0</v>
      </c>
      <c r="C2" s="17" t="n">
        <f aca="false">IFERROR(B2/SUM(B2:B11),0)</f>
        <v>0</v>
      </c>
    </row>
    <row r="3" customFormat="false" ht="21.75" hidden="false" customHeight="true" outlineLevel="0" collapsed="false">
      <c r="A3" s="18" t="s">
        <v>1</v>
      </c>
      <c r="B3" s="19" t="n">
        <f aca="false">COUNTIF('CRM Leads'!J:J,"Contactado")</f>
        <v>0</v>
      </c>
      <c r="C3" s="20" t="n">
        <f aca="false">IFERROR(B3/SUM(B2:B11),0)</f>
        <v>0</v>
      </c>
    </row>
    <row r="4" customFormat="false" ht="21.75" hidden="false" customHeight="true" outlineLevel="0" collapsed="false">
      <c r="A4" s="15" t="s">
        <v>2</v>
      </c>
      <c r="B4" s="16" t="n">
        <f aca="false">COUNTIF('CRM Leads'!J:J,"Respondió")</f>
        <v>0</v>
      </c>
      <c r="C4" s="17" t="n">
        <f aca="false">IFERROR(B4/SUM(B2:B11),0)</f>
        <v>0</v>
      </c>
    </row>
    <row r="5" customFormat="false" ht="21.75" hidden="false" customHeight="true" outlineLevel="0" collapsed="false">
      <c r="A5" s="18" t="s">
        <v>3</v>
      </c>
      <c r="B5" s="19" t="n">
        <f aca="false">COUNTIF('CRM Leads'!J:J,"Interesado")</f>
        <v>0</v>
      </c>
      <c r="C5" s="20" t="n">
        <f aca="false">IFERROR(B5/SUM(B2:B11),0)</f>
        <v>0</v>
      </c>
    </row>
    <row r="6" customFormat="false" ht="21.75" hidden="false" customHeight="true" outlineLevel="0" collapsed="false">
      <c r="A6" s="15" t="s">
        <v>4</v>
      </c>
      <c r="B6" s="16" t="n">
        <f aca="false">COUNTIF('CRM Leads'!J:J,"Follow-up 1")</f>
        <v>0</v>
      </c>
      <c r="C6" s="17" t="n">
        <f aca="false">IFERROR(B6/SUM(B2:B11),0)</f>
        <v>0</v>
      </c>
    </row>
    <row r="7" customFormat="false" ht="21.75" hidden="false" customHeight="true" outlineLevel="0" collapsed="false">
      <c r="A7" s="18" t="s">
        <v>5</v>
      </c>
      <c r="B7" s="19" t="n">
        <f aca="false">COUNTIF('CRM Leads'!J:J,"Follow-up 2")</f>
        <v>0</v>
      </c>
      <c r="C7" s="20" t="n">
        <f aca="false">IFERROR(B7/SUM(B2:B11),0)</f>
        <v>0</v>
      </c>
    </row>
    <row r="8" customFormat="false" ht="21.75" hidden="false" customHeight="true" outlineLevel="0" collapsed="false">
      <c r="A8" s="15" t="s">
        <v>6</v>
      </c>
      <c r="B8" s="16" t="n">
        <f aca="false">COUNTIF('CRM Leads'!J:J,"Reunión cerrada")</f>
        <v>0</v>
      </c>
      <c r="C8" s="17" t="n">
        <f aca="false">IFERROR(B8/SUM(B2:B11),0)</f>
        <v>0</v>
      </c>
    </row>
    <row r="9" customFormat="false" ht="21.75" hidden="false" customHeight="true" outlineLevel="0" collapsed="false">
      <c r="A9" s="18" t="s">
        <v>7</v>
      </c>
      <c r="B9" s="19" t="n">
        <f aca="false">COUNTIF('CRM Leads'!J:J,"Propuesta enviada")</f>
        <v>0</v>
      </c>
      <c r="C9" s="20" t="n">
        <f aca="false">IFERROR(B9/SUM(B2:B11),0)</f>
        <v>0</v>
      </c>
    </row>
    <row r="10" customFormat="false" ht="21.75" hidden="false" customHeight="true" outlineLevel="0" collapsed="false">
      <c r="A10" s="15" t="s">
        <v>8</v>
      </c>
      <c r="B10" s="16" t="n">
        <f aca="false">COUNTIF('CRM Leads'!J:J,"Cerrado ✓")</f>
        <v>0</v>
      </c>
      <c r="C10" s="17" t="n">
        <f aca="false">IFERROR(B10/SUM(B2:B11),0)</f>
        <v>0</v>
      </c>
    </row>
    <row r="11" customFormat="false" ht="21.75" hidden="false" customHeight="true" outlineLevel="0" collapsed="false">
      <c r="A11" s="18" t="s">
        <v>9</v>
      </c>
      <c r="B11" s="19" t="n">
        <f aca="false">COUNTIF('CRM Leads'!J:J,"Perdido ✗")</f>
        <v>0</v>
      </c>
      <c r="C11" s="20" t="n">
        <f aca="false">IFERROR(B11/SUM(B2:B11),0)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2026-06-17T17:25:04Z</dcterms:created>
  <dc:creator>openpyxl</dc:creator>
  <dc:description/>
  <dc:language>en-US</dc:language>
  <cp:lastModifiedBy/>
  <dcterms:modified xsi:type="dcterms:W3CDTF">2026-06-17T17:25:04Z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